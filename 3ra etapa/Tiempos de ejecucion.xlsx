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<sst xmlns="http://schemas.openxmlformats.org/spreadsheetml/2006/main" count="59" uniqueCount="14">
  <si>
    <t>NODOS UTILIZADOS: 4</t>
  </si>
  <si>
    <t>NODOS UTILIZADOS: 8</t>
  </si>
  <si>
    <t>NODOS UTILIZADOS: 16</t>
  </si>
  <si>
    <t>NODOS UTILIZADOS: 32</t>
  </si>
  <si>
    <t>SECUENCIAL</t>
  </si>
  <si>
    <t>PARALELO</t>
  </si>
  <si>
    <t>MPI</t>
  </si>
  <si>
    <t>OPENMP (2 Hilos)</t>
  </si>
  <si>
    <t>OPENMP (4 Hilos)</t>
  </si>
  <si>
    <t>N FILAS A</t>
  </si>
  <si>
    <t>N COLUM A / N FILAS B</t>
  </si>
  <si>
    <t>N COLUMNAS B</t>
  </si>
  <si>
    <t>Tiempo (SEG)</t>
  </si>
  <si>
    <t xml:space="preserve">Le afecta la comunicacion?
Mas lento que con 2 hilos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</si>
</sst>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CC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CC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readingOrder="0"/>
    </xf>
    <xf borderId="4" fillId="0" fontId="2" numFmtId="0" xfId="0" applyBorder="1" applyFont="1"/>
    <xf borderId="1" fillId="3" fontId="3" numFmtId="0" xfId="0" applyAlignment="1" applyBorder="1" applyFill="1" applyFont="1">
      <alignment horizontal="center" readingOrder="0"/>
    </xf>
    <xf borderId="5" fillId="0" fontId="3" numFmtId="0" xfId="0" applyBorder="1" applyFont="1"/>
    <xf borderId="1" fillId="4" fontId="3" numFmtId="0" xfId="0" applyAlignment="1" applyBorder="1" applyFill="1" applyFont="1">
      <alignment horizontal="center" readingOrder="0"/>
    </xf>
    <xf borderId="5" fillId="0" fontId="3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6" fillId="0" fontId="4" numFmtId="0" xfId="0" applyBorder="1" applyFont="1"/>
    <xf borderId="5" fillId="0" fontId="4" numFmtId="0" xfId="0" applyBorder="1" applyFont="1"/>
    <xf borderId="0" fillId="0" fontId="5" numFmtId="0" xfId="0" applyAlignment="1" applyFont="1">
      <alignment vertical="bottom"/>
    </xf>
    <xf borderId="5" fillId="0" fontId="6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/>
      <c r="D2" s="1"/>
      <c r="E2" s="1"/>
      <c r="F2" s="2" t="s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2" t="s">
        <v>1</v>
      </c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2" t="s">
        <v>2</v>
      </c>
      <c r="AE2" s="3"/>
      <c r="AF2" s="3"/>
      <c r="AG2" s="3"/>
      <c r="AH2" s="3"/>
      <c r="AI2" s="3"/>
      <c r="AJ2" s="3"/>
      <c r="AK2" s="4"/>
      <c r="AL2" s="2" t="s">
        <v>3</v>
      </c>
      <c r="AM2" s="3"/>
      <c r="AN2" s="3"/>
      <c r="AO2" s="4"/>
    </row>
    <row r="3">
      <c r="B3" s="5" t="s">
        <v>4</v>
      </c>
      <c r="C3" s="3"/>
      <c r="D3" s="3"/>
      <c r="E3" s="6"/>
      <c r="F3" s="7" t="s">
        <v>5</v>
      </c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7" t="s">
        <v>5</v>
      </c>
      <c r="S3" s="3"/>
      <c r="T3" s="3"/>
      <c r="U3" s="3"/>
      <c r="V3" s="3"/>
      <c r="W3" s="3"/>
      <c r="X3" s="3"/>
      <c r="Y3" s="3"/>
      <c r="Z3" s="3"/>
      <c r="AA3" s="3"/>
      <c r="AB3" s="3"/>
      <c r="AC3" s="4"/>
      <c r="AD3" s="7" t="s">
        <v>5</v>
      </c>
      <c r="AE3" s="3"/>
      <c r="AF3" s="3"/>
      <c r="AG3" s="3"/>
      <c r="AH3" s="3"/>
      <c r="AI3" s="3"/>
      <c r="AJ3" s="3"/>
      <c r="AK3" s="4"/>
      <c r="AL3" s="7" t="s">
        <v>5</v>
      </c>
      <c r="AM3" s="3"/>
      <c r="AN3" s="3"/>
      <c r="AO3" s="4"/>
    </row>
    <row r="4">
      <c r="B4" s="8"/>
      <c r="C4" s="8"/>
      <c r="D4" s="8"/>
      <c r="E4" s="8"/>
      <c r="F4" s="9" t="s">
        <v>6</v>
      </c>
      <c r="G4" s="3"/>
      <c r="H4" s="3"/>
      <c r="I4" s="6"/>
      <c r="J4" s="9" t="s">
        <v>7</v>
      </c>
      <c r="K4" s="3"/>
      <c r="L4" s="3"/>
      <c r="M4" s="4"/>
      <c r="N4" s="9" t="s">
        <v>8</v>
      </c>
      <c r="O4" s="3"/>
      <c r="P4" s="3"/>
      <c r="Q4" s="4"/>
      <c r="R4" s="9" t="s">
        <v>6</v>
      </c>
      <c r="S4" s="3"/>
      <c r="T4" s="3"/>
      <c r="U4" s="6"/>
      <c r="V4" s="9" t="s">
        <v>7</v>
      </c>
      <c r="W4" s="3"/>
      <c r="X4" s="3"/>
      <c r="Y4" s="4"/>
      <c r="Z4" s="9" t="s">
        <v>8</v>
      </c>
      <c r="AA4" s="3"/>
      <c r="AB4" s="3"/>
      <c r="AC4" s="4"/>
      <c r="AD4" s="9" t="s">
        <v>6</v>
      </c>
      <c r="AE4" s="3"/>
      <c r="AF4" s="3"/>
      <c r="AG4" s="6"/>
      <c r="AH4" s="9" t="s">
        <v>7</v>
      </c>
      <c r="AI4" s="3"/>
      <c r="AJ4" s="3"/>
      <c r="AK4" s="4"/>
      <c r="AL4" s="9" t="s">
        <v>6</v>
      </c>
      <c r="AM4" s="3"/>
      <c r="AN4" s="3"/>
      <c r="AO4" s="6"/>
    </row>
    <row r="5">
      <c r="B5" s="10" t="s">
        <v>9</v>
      </c>
      <c r="C5" s="10" t="s">
        <v>10</v>
      </c>
      <c r="D5" s="10" t="s">
        <v>11</v>
      </c>
      <c r="E5" s="11" t="s">
        <v>12</v>
      </c>
      <c r="F5" s="10" t="s">
        <v>9</v>
      </c>
      <c r="G5" s="10" t="s">
        <v>10</v>
      </c>
      <c r="H5" s="10" t="s">
        <v>11</v>
      </c>
      <c r="I5" s="11" t="s">
        <v>12</v>
      </c>
      <c r="J5" s="10" t="s">
        <v>9</v>
      </c>
      <c r="K5" s="10" t="s">
        <v>10</v>
      </c>
      <c r="L5" s="10" t="s">
        <v>11</v>
      </c>
      <c r="M5" s="12" t="s">
        <v>12</v>
      </c>
      <c r="N5" s="10" t="s">
        <v>9</v>
      </c>
      <c r="O5" s="10" t="s">
        <v>10</v>
      </c>
      <c r="P5" s="10" t="s">
        <v>11</v>
      </c>
      <c r="Q5" s="12" t="s">
        <v>12</v>
      </c>
      <c r="R5" s="10" t="s">
        <v>9</v>
      </c>
      <c r="S5" s="10" t="s">
        <v>10</v>
      </c>
      <c r="T5" s="10" t="s">
        <v>11</v>
      </c>
      <c r="U5" s="11" t="s">
        <v>12</v>
      </c>
      <c r="V5" s="10" t="s">
        <v>9</v>
      </c>
      <c r="W5" s="10" t="s">
        <v>10</v>
      </c>
      <c r="X5" s="10" t="s">
        <v>11</v>
      </c>
      <c r="Y5" s="12" t="s">
        <v>12</v>
      </c>
      <c r="Z5" s="10" t="s">
        <v>9</v>
      </c>
      <c r="AA5" s="10" t="s">
        <v>10</v>
      </c>
      <c r="AB5" s="10" t="s">
        <v>11</v>
      </c>
      <c r="AC5" s="12" t="s">
        <v>12</v>
      </c>
      <c r="AD5" s="10" t="s">
        <v>9</v>
      </c>
      <c r="AE5" s="10" t="s">
        <v>10</v>
      </c>
      <c r="AF5" s="10" t="s">
        <v>11</v>
      </c>
      <c r="AG5" s="11" t="s">
        <v>12</v>
      </c>
      <c r="AH5" s="10" t="s">
        <v>9</v>
      </c>
      <c r="AI5" s="10" t="s">
        <v>10</v>
      </c>
      <c r="AJ5" s="10" t="s">
        <v>11</v>
      </c>
      <c r="AK5" s="12" t="s">
        <v>12</v>
      </c>
      <c r="AL5" s="10" t="s">
        <v>9</v>
      </c>
      <c r="AM5" s="10" t="s">
        <v>10</v>
      </c>
      <c r="AN5" s="10" t="s">
        <v>11</v>
      </c>
      <c r="AO5" s="11" t="s">
        <v>12</v>
      </c>
    </row>
    <row r="6">
      <c r="B6" s="10">
        <v>8000.0</v>
      </c>
      <c r="C6" s="10">
        <v>6000.0</v>
      </c>
      <c r="D6" s="10">
        <v>7000.0</v>
      </c>
      <c r="E6" s="11">
        <f>(10275+10622.7+10654.8)/3</f>
        <v>10517.5</v>
      </c>
      <c r="F6" s="10">
        <v>8000.0</v>
      </c>
      <c r="G6" s="10">
        <v>6000.0</v>
      </c>
      <c r="H6" s="10">
        <v>7000.0</v>
      </c>
      <c r="I6" s="11">
        <f>(1242.3+1240.66+1241.38)/3</f>
        <v>1241.446667</v>
      </c>
      <c r="J6" s="10">
        <v>8000.0</v>
      </c>
      <c r="K6" s="10">
        <v>6000.0</v>
      </c>
      <c r="L6" s="10">
        <v>7000.0</v>
      </c>
      <c r="M6" s="11">
        <f>(1128.92+1125.97+1117.95)/3</f>
        <v>1124.28</v>
      </c>
      <c r="N6" s="10">
        <v>8000.0</v>
      </c>
      <c r="O6" s="10">
        <v>6000.0</v>
      </c>
      <c r="P6" s="10">
        <v>7000.0</v>
      </c>
      <c r="Q6" s="13">
        <f>(1077.96+1057.88+1061.1)/3</f>
        <v>1065.646667</v>
      </c>
      <c r="R6" s="10">
        <v>8000.0</v>
      </c>
      <c r="S6" s="10">
        <v>6000.0</v>
      </c>
      <c r="T6" s="10">
        <v>7000.0</v>
      </c>
      <c r="U6" s="11">
        <f>(659.238+666.655+666.253)/3</f>
        <v>664.0486667</v>
      </c>
      <c r="V6" s="10">
        <v>8000.0</v>
      </c>
      <c r="W6" s="10">
        <v>6000.0</v>
      </c>
      <c r="X6" s="10">
        <v>7000.0</v>
      </c>
      <c r="Y6" s="11">
        <f>(565.721+566.358+566.5)/3</f>
        <v>566.193</v>
      </c>
      <c r="Z6" s="10">
        <v>8000.0</v>
      </c>
      <c r="AA6" s="10">
        <v>6000.0</v>
      </c>
      <c r="AB6" s="10">
        <v>7000.0</v>
      </c>
      <c r="AC6" s="13">
        <f>(584.984+588.819+588.589)/3</f>
        <v>587.464</v>
      </c>
      <c r="AD6" s="10">
        <v>8000.0</v>
      </c>
      <c r="AE6" s="10">
        <v>6000.0</v>
      </c>
      <c r="AF6" s="10">
        <v>7000.0</v>
      </c>
      <c r="AG6" s="11">
        <f>(312.321+312.8+312.68)/3</f>
        <v>312.6003333</v>
      </c>
      <c r="AH6" s="10">
        <v>8000.0</v>
      </c>
      <c r="AI6" s="10">
        <v>6000.0</v>
      </c>
      <c r="AJ6" s="10">
        <v>7000.0</v>
      </c>
      <c r="AK6" s="13">
        <f>(300.778+300.836+299.88)/3</f>
        <v>300.498</v>
      </c>
      <c r="AL6" s="10">
        <v>8000.0</v>
      </c>
      <c r="AM6" s="10">
        <v>6000.0</v>
      </c>
      <c r="AN6" s="10">
        <v>7000.0</v>
      </c>
      <c r="AO6" s="11">
        <f>(163.243+163.087+168.872)/3</f>
        <v>165.0673333</v>
      </c>
    </row>
    <row r="7">
      <c r="B7" s="10">
        <v>5000.0</v>
      </c>
      <c r="C7" s="10">
        <v>5000.0</v>
      </c>
      <c r="D7" s="10">
        <v>5000.0</v>
      </c>
      <c r="E7" s="11">
        <f>(4012.33+4149.07+3711.87)/3</f>
        <v>3957.756667</v>
      </c>
      <c r="F7" s="10">
        <v>5000.0</v>
      </c>
      <c r="G7" s="10">
        <v>5000.0</v>
      </c>
      <c r="H7" s="10">
        <v>5000.0</v>
      </c>
      <c r="I7" s="11">
        <f>(462.24+462.165+462.116)/3</f>
        <v>462.1736667</v>
      </c>
      <c r="J7" s="10">
        <v>5000.0</v>
      </c>
      <c r="K7" s="10">
        <v>5000.0</v>
      </c>
      <c r="L7" s="10">
        <v>5000.0</v>
      </c>
      <c r="M7" s="11">
        <f>(406.64+405.154+405.186)/3</f>
        <v>405.66</v>
      </c>
      <c r="N7" s="10">
        <v>5000.0</v>
      </c>
      <c r="O7" s="10">
        <v>5000.0</v>
      </c>
      <c r="P7" s="10">
        <v>5000.0</v>
      </c>
      <c r="Q7" s="13">
        <f>(394.802+396.711+396.959)/3</f>
        <v>396.1573333</v>
      </c>
      <c r="R7" s="10">
        <v>5000.0</v>
      </c>
      <c r="S7" s="10">
        <v>5000.0</v>
      </c>
      <c r="T7" s="10">
        <v>5000.0</v>
      </c>
      <c r="U7" s="11">
        <f>(243.415+243.421+243.434)/3</f>
        <v>243.4233333</v>
      </c>
      <c r="V7" s="10">
        <v>5000.0</v>
      </c>
      <c r="W7" s="10">
        <v>5000.0</v>
      </c>
      <c r="X7" s="10">
        <v>5000.0</v>
      </c>
      <c r="Y7" s="11">
        <f>(215.995+233.457+216.079)/3</f>
        <v>221.8436667</v>
      </c>
      <c r="Z7" s="10">
        <v>5000.0</v>
      </c>
      <c r="AA7" s="10">
        <v>5000.0</v>
      </c>
      <c r="AB7" s="10">
        <v>5000.0</v>
      </c>
      <c r="AC7" s="13">
        <f>(217.535+218.35+218.387)/3</f>
        <v>218.0906667</v>
      </c>
      <c r="AD7" s="10">
        <v>5000.0</v>
      </c>
      <c r="AE7" s="10">
        <v>5000.0</v>
      </c>
      <c r="AF7" s="10">
        <v>5000.0</v>
      </c>
      <c r="AG7" s="11">
        <f>(114.222+114.245+114.179)/3</f>
        <v>114.2153333</v>
      </c>
      <c r="AH7" s="10">
        <v>5000.0</v>
      </c>
      <c r="AI7" s="10">
        <v>5000.0</v>
      </c>
      <c r="AJ7" s="10">
        <v>5000.0</v>
      </c>
      <c r="AK7" s="13">
        <f>(119.511+110.584+110.572)/3</f>
        <v>113.5556667</v>
      </c>
      <c r="AL7" s="10">
        <v>5000.0</v>
      </c>
      <c r="AM7" s="10">
        <v>5000.0</v>
      </c>
      <c r="AN7" s="10">
        <v>5000.0</v>
      </c>
      <c r="AO7" s="11">
        <f>(61.6013+61.3711+59.1345)/3</f>
        <v>60.7023</v>
      </c>
    </row>
    <row r="8">
      <c r="B8" s="10">
        <v>10000.0</v>
      </c>
      <c r="C8" s="10">
        <v>10000.0</v>
      </c>
      <c r="D8" s="10">
        <v>10000.0</v>
      </c>
      <c r="E8" s="11">
        <f>(27823.4+30330.8+30470.8)/3</f>
        <v>29541.66667</v>
      </c>
      <c r="F8" s="10">
        <v>10000.0</v>
      </c>
      <c r="G8" s="10">
        <v>10000.0</v>
      </c>
      <c r="H8" s="10">
        <v>10000.0</v>
      </c>
      <c r="I8" s="11">
        <f>(3563.46+3555.29+3545.01)/3</f>
        <v>3554.586667</v>
      </c>
      <c r="J8" s="10">
        <v>10000.0</v>
      </c>
      <c r="K8" s="10">
        <v>10000.0</v>
      </c>
      <c r="L8" s="10">
        <v>10000.0</v>
      </c>
      <c r="M8" s="11">
        <f>(3160.06+3162+3173.96)/3</f>
        <v>3165.34</v>
      </c>
      <c r="N8" s="10">
        <v>10000.0</v>
      </c>
      <c r="O8" s="10">
        <v>10000.0</v>
      </c>
      <c r="P8" s="10">
        <v>10000.0</v>
      </c>
      <c r="Q8" s="13">
        <f>(2928.38+2928.62+2927.03)/3</f>
        <v>2928.01</v>
      </c>
      <c r="R8" s="10">
        <v>10000.0</v>
      </c>
      <c r="S8" s="10">
        <v>10000.0</v>
      </c>
      <c r="T8" s="10">
        <v>10000.0</v>
      </c>
      <c r="U8" s="11">
        <f>(1867.53+1848.46+1835.22)/3</f>
        <v>1850.403333</v>
      </c>
      <c r="V8" s="10">
        <v>10000.0</v>
      </c>
      <c r="W8" s="10">
        <v>10000.0</v>
      </c>
      <c r="X8" s="10">
        <v>10000.0</v>
      </c>
      <c r="Y8" s="11">
        <f>(1576.44+1578.45+1577.95)/3</f>
        <v>1577.613333</v>
      </c>
      <c r="Z8" s="10">
        <v>10000.0</v>
      </c>
      <c r="AA8" s="10">
        <v>10000.0</v>
      </c>
      <c r="AB8" s="10">
        <v>10000.0</v>
      </c>
      <c r="AC8" s="13">
        <f>(1648.54+1645.7+1646.89)/3</f>
        <v>1647.043333</v>
      </c>
      <c r="AD8" s="10">
        <v>10000.0</v>
      </c>
      <c r="AE8" s="10">
        <v>10000.0</v>
      </c>
      <c r="AF8" s="10">
        <v>10000.0</v>
      </c>
      <c r="AG8" s="11">
        <f>(884.338+876.35+876.257)/3</f>
        <v>878.9816667</v>
      </c>
      <c r="AH8" s="10">
        <v>10000.0</v>
      </c>
      <c r="AI8" s="10">
        <v>10000.0</v>
      </c>
      <c r="AJ8" s="10">
        <v>10000.0</v>
      </c>
      <c r="AK8" s="13">
        <f>(975.521+848.153+848.4)/3</f>
        <v>890.6913333</v>
      </c>
      <c r="AL8" s="10">
        <v>10000.0</v>
      </c>
      <c r="AM8" s="10">
        <v>10000.0</v>
      </c>
      <c r="AN8" s="10">
        <v>10000.0</v>
      </c>
      <c r="AO8" s="11">
        <f>(466.788+467.53+458.804)/3</f>
        <v>464.374</v>
      </c>
    </row>
    <row r="9">
      <c r="B9" s="10">
        <v>6000.0</v>
      </c>
      <c r="C9" s="10">
        <v>6000.0</v>
      </c>
      <c r="D9" s="10">
        <v>8000.0</v>
      </c>
      <c r="E9" s="11">
        <f>(9389.85+8852.86+8327.84)/3</f>
        <v>8856.85</v>
      </c>
      <c r="F9" s="10">
        <v>6000.0</v>
      </c>
      <c r="G9" s="10">
        <v>6000.0</v>
      </c>
      <c r="H9" s="10">
        <v>8000.0</v>
      </c>
      <c r="I9" s="11">
        <f>(1028.15+1030.26+1031.81)/3</f>
        <v>1030.073333</v>
      </c>
      <c r="J9" s="10">
        <v>6000.0</v>
      </c>
      <c r="K9" s="10">
        <v>6000.0</v>
      </c>
      <c r="L9" s="10">
        <v>8000.0</v>
      </c>
      <c r="M9" s="11">
        <f>(965.096+963.258+948.491)/3</f>
        <v>958.9483333</v>
      </c>
      <c r="N9" s="10">
        <v>6000.0</v>
      </c>
      <c r="O9" s="10">
        <v>6000.0</v>
      </c>
      <c r="P9" s="10">
        <v>8000.0</v>
      </c>
      <c r="Q9" s="13">
        <f>(920.588+917.38+918.355)/3</f>
        <v>918.7743333</v>
      </c>
      <c r="R9" s="10">
        <v>6000.0</v>
      </c>
      <c r="S9" s="10">
        <v>6000.0</v>
      </c>
      <c r="T9" s="10">
        <v>8000.0</v>
      </c>
      <c r="U9" s="11">
        <f>(541.897+541.737+542.241)/3</f>
        <v>541.9583333</v>
      </c>
      <c r="V9" s="10">
        <v>6000.0</v>
      </c>
      <c r="W9" s="10">
        <v>6000.0</v>
      </c>
      <c r="X9" s="10">
        <v>8000.0</v>
      </c>
      <c r="Y9" s="11">
        <f>(484.568+484.253+483.886)/3</f>
        <v>484.2356667</v>
      </c>
      <c r="Z9" s="10">
        <v>6000.0</v>
      </c>
      <c r="AA9" s="10">
        <v>6000.0</v>
      </c>
      <c r="AB9" s="10">
        <v>8000.0</v>
      </c>
      <c r="AC9" s="13">
        <f>(493.999+494.592+494.331)/3</f>
        <v>494.3073333</v>
      </c>
      <c r="AD9" s="10">
        <v>6000.0</v>
      </c>
      <c r="AE9" s="10">
        <v>6000.0</v>
      </c>
      <c r="AF9" s="10">
        <v>8000.0</v>
      </c>
      <c r="AG9" s="11">
        <f>(265.428+264.993+263.052)/3</f>
        <v>264.491</v>
      </c>
      <c r="AH9" s="10">
        <v>6000.0</v>
      </c>
      <c r="AI9" s="10">
        <v>6000.0</v>
      </c>
      <c r="AJ9" s="10">
        <v>8000.0</v>
      </c>
      <c r="AK9" s="13">
        <f>(251.761+253.098+253.462)/3</f>
        <v>252.7736667</v>
      </c>
      <c r="AL9" s="10">
        <v>6000.0</v>
      </c>
      <c r="AM9" s="10">
        <v>6000.0</v>
      </c>
      <c r="AN9" s="10">
        <v>8000.0</v>
      </c>
      <c r="AO9" s="11">
        <f>(139.22+139.208+139.253)/3</f>
        <v>139.227</v>
      </c>
    </row>
    <row r="10">
      <c r="B10" s="10">
        <v>50.0</v>
      </c>
      <c r="C10" s="10">
        <v>5000.0</v>
      </c>
      <c r="D10" s="10">
        <v>5000.0</v>
      </c>
      <c r="E10" s="14">
        <f>(44.0496+44.243+44.117)/3</f>
        <v>44.13653333</v>
      </c>
      <c r="F10" s="10">
        <v>50.0</v>
      </c>
      <c r="G10" s="10">
        <v>5000.0</v>
      </c>
      <c r="H10" s="10">
        <v>5000.0</v>
      </c>
      <c r="I10" s="14">
        <f>(4.79914+4.80177+4.80175)/3</f>
        <v>4.800886667</v>
      </c>
      <c r="J10" s="10">
        <v>50.0</v>
      </c>
      <c r="K10" s="10">
        <v>5000.0</v>
      </c>
      <c r="L10" s="10">
        <v>5000.0</v>
      </c>
      <c r="M10" s="14">
        <f>(4.55189+4.55092+4.5534)/3</f>
        <v>4.55207</v>
      </c>
      <c r="N10" s="10">
        <v>50.0</v>
      </c>
      <c r="O10" s="10">
        <v>5000.0</v>
      </c>
      <c r="P10" s="10">
        <v>5000.0</v>
      </c>
      <c r="Q10" s="13">
        <f>(4.43141+4.43189+4.43444)/3</f>
        <v>4.43258</v>
      </c>
      <c r="R10" s="10">
        <v>50.0</v>
      </c>
      <c r="S10" s="10">
        <v>5000.0</v>
      </c>
      <c r="T10" s="10">
        <v>5000.0</v>
      </c>
      <c r="U10" s="14">
        <f>(2.71474+2.71512+2.71473)/3</f>
        <v>2.714863333</v>
      </c>
      <c r="V10" s="10">
        <v>50.0</v>
      </c>
      <c r="W10" s="10">
        <v>5000.0</v>
      </c>
      <c r="X10" s="10">
        <v>5000.0</v>
      </c>
      <c r="Y10" s="14">
        <f>(2.41508+2.41623+2.41484)/3</f>
        <v>2.415383333</v>
      </c>
      <c r="Z10" s="10">
        <v>50.0</v>
      </c>
      <c r="AA10" s="10">
        <v>5000.0</v>
      </c>
      <c r="AB10" s="10">
        <v>5000.0</v>
      </c>
      <c r="AC10" s="13">
        <f>(2.43904+2.44296+2.44147)/3</f>
        <v>2.441156667</v>
      </c>
      <c r="AD10" s="10">
        <v>50.0</v>
      </c>
      <c r="AE10" s="10">
        <v>5000.0</v>
      </c>
      <c r="AF10" s="10">
        <v>5000.0</v>
      </c>
      <c r="AG10" s="14">
        <f>(1.46267+1.46363+1.46143)/3</f>
        <v>1.462576667</v>
      </c>
      <c r="AH10" s="10">
        <v>50.0</v>
      </c>
      <c r="AI10" s="10">
        <v>5000.0</v>
      </c>
      <c r="AJ10" s="10">
        <v>5000.0</v>
      </c>
      <c r="AK10" s="13">
        <f>(1.51849+1.37694+1.36376)/3</f>
        <v>1.41973</v>
      </c>
      <c r="AL10" s="10">
        <v>50.0</v>
      </c>
      <c r="AM10" s="10">
        <v>5000.0</v>
      </c>
      <c r="AN10" s="10">
        <v>5000.0</v>
      </c>
      <c r="AO10" s="14">
        <f>(0.79284+0.780389+0.794361)/3</f>
        <v>0.7891966667</v>
      </c>
    </row>
    <row r="11">
      <c r="A11" s="15"/>
      <c r="B11" s="16">
        <v>5000.0</v>
      </c>
      <c r="C11" s="16">
        <v>50.0</v>
      </c>
      <c r="D11" s="16">
        <v>5000.0</v>
      </c>
      <c r="E11" s="17">
        <f>(19.8296+19.8226+19.8647)/3</f>
        <v>19.83896667</v>
      </c>
      <c r="F11" s="16">
        <v>5000.0</v>
      </c>
      <c r="G11" s="16">
        <v>50.0</v>
      </c>
      <c r="H11" s="16">
        <v>5000.0</v>
      </c>
      <c r="I11" s="17">
        <f>(3.18629+3.18629+3.18483)/3</f>
        <v>3.185803333</v>
      </c>
      <c r="J11" s="16">
        <v>5000.0</v>
      </c>
      <c r="K11" s="16">
        <v>50.0</v>
      </c>
      <c r="L11" s="16">
        <v>5000.0</v>
      </c>
      <c r="M11" s="17">
        <f>(2.77863+2.99534+2.82844)/3</f>
        <v>2.86747</v>
      </c>
      <c r="N11" s="16">
        <v>5000.0</v>
      </c>
      <c r="O11" s="16">
        <v>50.0</v>
      </c>
      <c r="P11" s="16">
        <v>5000.0</v>
      </c>
      <c r="Q11" s="18">
        <f>(2.76741+2.76796+2.76894)/3</f>
        <v>2.768103333</v>
      </c>
      <c r="R11" s="16">
        <v>5000.0</v>
      </c>
      <c r="S11" s="16">
        <v>50.0</v>
      </c>
      <c r="T11" s="16">
        <v>5000.0</v>
      </c>
      <c r="U11" s="17">
        <f>(1.59951+1.60056+1.59875)/3</f>
        <v>1.599606667</v>
      </c>
      <c r="V11" s="16">
        <v>5000.0</v>
      </c>
      <c r="W11" s="16">
        <v>50.0</v>
      </c>
      <c r="X11" s="16">
        <v>5000.0</v>
      </c>
      <c r="Y11" s="17">
        <f>(1.39294+1.39265+1.38919)/3</f>
        <v>1.391593333</v>
      </c>
      <c r="Z11" s="16">
        <v>5000.0</v>
      </c>
      <c r="AA11" s="16">
        <v>50.0</v>
      </c>
      <c r="AB11" s="16">
        <v>5000.0</v>
      </c>
      <c r="AC11" s="19">
        <f>(1.38875+1.39172+1.38893)/3</f>
        <v>1.3898</v>
      </c>
      <c r="AD11" s="16">
        <v>5000.0</v>
      </c>
      <c r="AE11" s="16">
        <v>50.0</v>
      </c>
      <c r="AF11" s="16">
        <v>5000.0</v>
      </c>
      <c r="AG11" s="17">
        <f>(0.798992+0.798105+0.798224)/3</f>
        <v>0.7984403333</v>
      </c>
      <c r="AH11" s="16">
        <v>5000.0</v>
      </c>
      <c r="AI11" s="16">
        <v>50.0</v>
      </c>
      <c r="AJ11" s="16">
        <v>5000.0</v>
      </c>
      <c r="AK11" s="15">
        <f>(0.696503+0.695696+0.694731)/3</f>
        <v>0.6956433333</v>
      </c>
      <c r="AL11" s="16">
        <v>5000.0</v>
      </c>
      <c r="AM11" s="16">
        <v>50.0</v>
      </c>
      <c r="AN11" s="16">
        <v>5000.0</v>
      </c>
      <c r="AO11" s="17">
        <f>(0.402745+0.402314+0.402164)/3</f>
        <v>0.4024076667</v>
      </c>
    </row>
    <row r="12">
      <c r="B12" s="10">
        <v>2000.0</v>
      </c>
      <c r="C12" s="10">
        <v>10000.0</v>
      </c>
      <c r="D12" s="10">
        <v>10000.0</v>
      </c>
      <c r="E12" s="14">
        <f>(6000.77+6295.1+6179.16)/3</f>
        <v>6158.343333</v>
      </c>
      <c r="F12" s="10">
        <v>2000.0</v>
      </c>
      <c r="G12" s="10">
        <v>10000.0</v>
      </c>
      <c r="H12" s="10">
        <v>10000.0</v>
      </c>
      <c r="I12" s="14">
        <f>(709.788+709.2339+708.983)/3</f>
        <v>709.3349667</v>
      </c>
      <c r="J12" s="10">
        <v>2000.0</v>
      </c>
      <c r="K12" s="10">
        <v>10000.0</v>
      </c>
      <c r="L12" s="10">
        <v>10000.0</v>
      </c>
      <c r="M12" s="14">
        <f>(633.345+631.775+632.878)/3</f>
        <v>632.666</v>
      </c>
      <c r="N12" s="10">
        <v>2000.0</v>
      </c>
      <c r="O12" s="10">
        <v>10000.0</v>
      </c>
      <c r="P12" s="10">
        <v>10000.0</v>
      </c>
      <c r="Q12" s="13">
        <f>(658.21+585.431+585.357)/3</f>
        <v>609.666</v>
      </c>
      <c r="R12" s="10">
        <v>2000.0</v>
      </c>
      <c r="S12" s="10">
        <v>10000.0</v>
      </c>
      <c r="T12" s="10">
        <v>10000.0</v>
      </c>
      <c r="U12" s="14">
        <f>(369.996+369.95+367.1)/3</f>
        <v>369.0153333</v>
      </c>
      <c r="V12" s="10">
        <v>2000.0</v>
      </c>
      <c r="W12" s="10">
        <v>10000.0</v>
      </c>
      <c r="X12" s="10">
        <v>10000.0</v>
      </c>
      <c r="Y12" s="14">
        <f>(315.172+315.283+315.28)/3</f>
        <v>315.245</v>
      </c>
      <c r="Z12" s="10">
        <v>2000.0</v>
      </c>
      <c r="AA12" s="10">
        <v>10000.0</v>
      </c>
      <c r="AB12" s="10">
        <v>10000.0</v>
      </c>
      <c r="AC12" s="13">
        <f>(329.246+329.207+328.154)/3</f>
        <v>328.869</v>
      </c>
      <c r="AD12" s="10">
        <v>2000.0</v>
      </c>
      <c r="AE12" s="10">
        <v>10000.0</v>
      </c>
      <c r="AF12" s="10">
        <v>10000.0</v>
      </c>
      <c r="AG12" s="14">
        <f>(175.35+175.363+175.509)/3</f>
        <v>175.4073333</v>
      </c>
      <c r="AH12" s="10">
        <v>2000.0</v>
      </c>
      <c r="AI12" s="10">
        <v>10000.0</v>
      </c>
      <c r="AJ12" s="10">
        <v>10000.0</v>
      </c>
      <c r="AK12" s="13">
        <f>(170.125+171.16+170.284)/3</f>
        <v>170.523</v>
      </c>
      <c r="AL12" s="10">
        <v>2000.0</v>
      </c>
      <c r="AM12" s="10">
        <v>10000.0</v>
      </c>
      <c r="AN12" s="10">
        <v>10000.0</v>
      </c>
      <c r="AO12" s="14">
        <f>(94.0297+93.5196+93.5012)/3</f>
        <v>93.6835</v>
      </c>
    </row>
    <row r="13">
      <c r="B13" s="10">
        <v>10000.0</v>
      </c>
      <c r="C13" s="10">
        <v>10000.0</v>
      </c>
      <c r="D13" s="10">
        <v>2000.0</v>
      </c>
      <c r="E13" s="14">
        <f>(6005.46+6139.91+5815.2)/3</f>
        <v>5986.856667</v>
      </c>
      <c r="F13" s="10">
        <v>10000.0</v>
      </c>
      <c r="G13" s="10">
        <v>10000.0</v>
      </c>
      <c r="H13" s="10">
        <v>2000.0</v>
      </c>
      <c r="I13" s="14">
        <f>(719.171+717.716+715.071)/3</f>
        <v>717.3193333</v>
      </c>
      <c r="J13" s="10">
        <v>10000.0</v>
      </c>
      <c r="K13" s="10">
        <v>10000.0</v>
      </c>
      <c r="L13" s="10">
        <v>2000.0</v>
      </c>
      <c r="M13" s="14">
        <f>(640.604+638.707+632.664)/3</f>
        <v>637.325</v>
      </c>
      <c r="N13" s="10">
        <v>10000.0</v>
      </c>
      <c r="O13" s="10">
        <v>10000.0</v>
      </c>
      <c r="P13" s="10">
        <v>2000.0</v>
      </c>
      <c r="Q13" s="13">
        <f>(589.717+589.782+589.927)/3</f>
        <v>589.8086667</v>
      </c>
      <c r="R13" s="10">
        <v>10000.0</v>
      </c>
      <c r="S13" s="10">
        <v>10000.0</v>
      </c>
      <c r="T13" s="10">
        <v>2000.0</v>
      </c>
      <c r="U13" s="14">
        <f>(372.443+372.401+372.366)/3</f>
        <v>372.4033333</v>
      </c>
      <c r="V13" s="10">
        <v>10000.0</v>
      </c>
      <c r="W13" s="10">
        <v>10000.0</v>
      </c>
      <c r="X13" s="10">
        <v>2000.0</v>
      </c>
      <c r="Y13" s="14">
        <f>(316.671+316.859+317.341)/3</f>
        <v>316.957</v>
      </c>
      <c r="Z13" s="10">
        <v>10000.0</v>
      </c>
      <c r="AA13" s="10">
        <v>10000.0</v>
      </c>
      <c r="AB13" s="10">
        <v>2000.0</v>
      </c>
      <c r="AC13" s="13">
        <f>(329.97+329.962+329.15)/3</f>
        <v>329.694</v>
      </c>
      <c r="AD13" s="10">
        <v>10000.0</v>
      </c>
      <c r="AE13" s="10">
        <v>10000.0</v>
      </c>
      <c r="AF13" s="10">
        <v>2000.0</v>
      </c>
      <c r="AG13" s="14">
        <f>(176.31+176.207+176.149)/3</f>
        <v>176.222</v>
      </c>
      <c r="AH13" s="10">
        <v>10000.0</v>
      </c>
      <c r="AI13" s="10">
        <v>10000.0</v>
      </c>
      <c r="AJ13" s="10">
        <v>2000.0</v>
      </c>
      <c r="AK13" s="13">
        <f>(173.313+169.775+171.042)/3</f>
        <v>171.3766667</v>
      </c>
      <c r="AL13" s="10">
        <v>10000.0</v>
      </c>
      <c r="AM13" s="10">
        <v>10000.0</v>
      </c>
      <c r="AN13" s="10">
        <v>2000.0</v>
      </c>
      <c r="AO13" s="14">
        <f>(91.5458+93.917+93.3351)/3</f>
        <v>92.93263333</v>
      </c>
    </row>
    <row r="14">
      <c r="B14" s="10">
        <v>5000.0</v>
      </c>
      <c r="C14" s="10">
        <v>3000.0</v>
      </c>
      <c r="D14" s="10">
        <v>20.0</v>
      </c>
      <c r="E14" s="14">
        <f>(4.4573+4.51242+4.52623)/3</f>
        <v>4.49865</v>
      </c>
      <c r="F14" s="10">
        <v>5000.0</v>
      </c>
      <c r="G14" s="10">
        <v>3000.0</v>
      </c>
      <c r="H14" s="10">
        <v>20.0</v>
      </c>
      <c r="I14" s="14">
        <f>(0.731757+0.73158+0.73158)/3</f>
        <v>0.731639</v>
      </c>
      <c r="J14" s="10">
        <v>5000.0</v>
      </c>
      <c r="K14" s="10">
        <v>3000.0</v>
      </c>
      <c r="L14" s="10">
        <v>20.0</v>
      </c>
      <c r="M14" s="14">
        <f>(0.624436+0.624808+0.637315)/3</f>
        <v>0.628853</v>
      </c>
      <c r="N14" s="10">
        <v>5000.0</v>
      </c>
      <c r="O14" s="10">
        <v>3000.0</v>
      </c>
      <c r="P14" s="10">
        <v>20.0</v>
      </c>
      <c r="Q14" s="13">
        <f>(0.623856+0.624714+0.624583)/3</f>
        <v>0.6243843333</v>
      </c>
      <c r="R14" s="10">
        <v>5000.0</v>
      </c>
      <c r="S14" s="10">
        <v>3000.0</v>
      </c>
      <c r="T14" s="10">
        <v>20.0</v>
      </c>
      <c r="U14" s="14">
        <f>(0.366131+0.367198+0.366893)/3</f>
        <v>0.3667406667</v>
      </c>
      <c r="V14" s="10">
        <v>5000.0</v>
      </c>
      <c r="W14" s="10">
        <v>3000.0</v>
      </c>
      <c r="X14" s="10">
        <v>20.0</v>
      </c>
      <c r="Y14" s="14">
        <f>(0.312767+0.312992+0.312489)/3</f>
        <v>0.3127493333</v>
      </c>
      <c r="Z14" s="10">
        <v>5000.0</v>
      </c>
      <c r="AA14" s="10">
        <v>3000.0</v>
      </c>
      <c r="AB14" s="10">
        <v>20.0</v>
      </c>
      <c r="AC14" s="13">
        <f>(0.312285+0.312656+0.312226)/3</f>
        <v>0.312389</v>
      </c>
      <c r="AD14" s="10">
        <v>5000.0</v>
      </c>
      <c r="AE14" s="10">
        <v>3000.0</v>
      </c>
      <c r="AF14" s="10">
        <v>20.0</v>
      </c>
      <c r="AG14" s="14">
        <f>(0.18319+0.183168+0.183196)/3</f>
        <v>0.1831846667</v>
      </c>
      <c r="AH14" s="10">
        <v>5000.0</v>
      </c>
      <c r="AI14" s="10">
        <v>3000.0</v>
      </c>
      <c r="AJ14" s="10">
        <v>20.0</v>
      </c>
      <c r="AK14" s="13">
        <f>(0.156207+0.156565+0.156772)/3</f>
        <v>0.1565146667</v>
      </c>
      <c r="AL14" s="10">
        <v>5000.0</v>
      </c>
      <c r="AM14" s="10">
        <v>3000.0</v>
      </c>
      <c r="AN14" s="10">
        <v>20.0</v>
      </c>
      <c r="AO14" s="14">
        <f>(0.0922004+0.0921418+0.0921946)/3</f>
        <v>0.09217893333</v>
      </c>
    </row>
    <row r="15">
      <c r="B15" s="10">
        <v>20.0</v>
      </c>
      <c r="C15" s="10">
        <v>3000.0</v>
      </c>
      <c r="D15" s="10">
        <v>5000.0</v>
      </c>
      <c r="E15" s="14">
        <f>(9.93205+9.9374+10.4505)/3</f>
        <v>10.10665</v>
      </c>
      <c r="F15" s="10">
        <v>20.0</v>
      </c>
      <c r="G15" s="10">
        <v>3000.0</v>
      </c>
      <c r="H15" s="10">
        <v>5000.0</v>
      </c>
      <c r="I15" s="14">
        <f>(0.931875+0.923839+0.923779)/3</f>
        <v>0.9264976667</v>
      </c>
      <c r="J15" s="10">
        <v>20.0</v>
      </c>
      <c r="K15" s="10">
        <v>3000.0</v>
      </c>
      <c r="L15" s="10">
        <v>5000.0</v>
      </c>
      <c r="M15" s="14">
        <f>(0.831247+0.837209+0.838793)/3</f>
        <v>0.8357496667</v>
      </c>
      <c r="N15" s="10">
        <v>20.0</v>
      </c>
      <c r="O15" s="10">
        <v>3000.0</v>
      </c>
      <c r="P15" s="10">
        <v>5000.0</v>
      </c>
      <c r="Q15" s="13">
        <f>(0.843063+0.832647+0.83132)/3</f>
        <v>0.8356766667</v>
      </c>
      <c r="R15" s="10">
        <v>20.0</v>
      </c>
      <c r="S15" s="10">
        <v>3000.0</v>
      </c>
      <c r="T15" s="10">
        <v>5000.0</v>
      </c>
      <c r="U15" s="14">
        <f>(0.572303+0.568375+0.570916)/3</f>
        <v>0.5705313333</v>
      </c>
      <c r="V15" s="10">
        <v>20.0</v>
      </c>
      <c r="W15" s="10">
        <v>3000.0</v>
      </c>
      <c r="X15" s="10">
        <v>5000.0</v>
      </c>
      <c r="Y15" s="14">
        <f>(0.492504+0.490031+0.4885)/3</f>
        <v>0.490345</v>
      </c>
      <c r="Z15" s="10">
        <v>20.0</v>
      </c>
      <c r="AA15" s="10">
        <v>3000.0</v>
      </c>
      <c r="AB15" s="10">
        <v>5000.0</v>
      </c>
      <c r="AC15" s="13">
        <f>(0.492679+0.496547+0.492953)/3</f>
        <v>0.4940596667</v>
      </c>
      <c r="AD15" s="10">
        <v>20.0</v>
      </c>
      <c r="AE15" s="10">
        <v>3000.0</v>
      </c>
      <c r="AF15" s="10">
        <v>5000.0</v>
      </c>
      <c r="AG15" s="14">
        <f>(0.369473+0.370009+0.370038)/3</f>
        <v>0.36984</v>
      </c>
      <c r="AH15" s="10">
        <v>20.0</v>
      </c>
      <c r="AI15" s="10">
        <v>3000.0</v>
      </c>
      <c r="AJ15" s="10">
        <v>5000.0</v>
      </c>
      <c r="AK15" s="13">
        <f>(0.317186+0.318053+0.315072)/3</f>
        <v>0.3167703333</v>
      </c>
      <c r="AL15" s="10">
        <v>20.0</v>
      </c>
      <c r="AM15" s="10">
        <v>3000.0</v>
      </c>
      <c r="AN15" s="10">
        <v>5000.0</v>
      </c>
      <c r="AO15" s="14">
        <f>(0.197733+0.198339+0.196499)/3</f>
        <v>0.1975236667</v>
      </c>
    </row>
    <row r="16">
      <c r="B16" s="10">
        <v>20.0</v>
      </c>
      <c r="C16" s="10">
        <v>5000.0</v>
      </c>
      <c r="D16" s="10">
        <v>3000.0</v>
      </c>
      <c r="E16" s="14">
        <f>(10.4463+10.7027+10.5541)/3</f>
        <v>10.5677</v>
      </c>
      <c r="F16" s="10">
        <v>20.0</v>
      </c>
      <c r="G16" s="10">
        <v>5000.0</v>
      </c>
      <c r="H16" s="10">
        <v>3000.0</v>
      </c>
      <c r="I16" s="14">
        <f>(1.10568+1.10548+1.10613)/3</f>
        <v>1.105763333</v>
      </c>
      <c r="J16" s="10">
        <v>20.0</v>
      </c>
      <c r="K16" s="10">
        <v>5000.0</v>
      </c>
      <c r="L16" s="10">
        <v>3000.0</v>
      </c>
      <c r="M16" s="14">
        <f>(1.03868+1.04053+1.03858)/3</f>
        <v>1.039263333</v>
      </c>
      <c r="N16" s="10">
        <v>20.0</v>
      </c>
      <c r="O16" s="10">
        <v>5000.0</v>
      </c>
      <c r="P16" s="10">
        <v>3000.0</v>
      </c>
      <c r="Q16" s="13">
        <f>(1.01987+1.01892+1.02031)/3</f>
        <v>1.0197</v>
      </c>
      <c r="R16" s="10">
        <v>20.0</v>
      </c>
      <c r="S16" s="10">
        <v>5000.0</v>
      </c>
      <c r="T16" s="10">
        <v>3000.0</v>
      </c>
      <c r="U16" s="14">
        <f>(0.701054+0.700559+0.701449)/3</f>
        <v>0.7010206667</v>
      </c>
      <c r="V16" s="10">
        <v>20.0</v>
      </c>
      <c r="W16" s="10">
        <v>5000.0</v>
      </c>
      <c r="X16" s="10">
        <v>3000.0</v>
      </c>
      <c r="Y16" s="14">
        <f>(0.620066+0.61897+0.318824)/3</f>
        <v>0.5192866667</v>
      </c>
      <c r="Z16" s="10">
        <v>20.0</v>
      </c>
      <c r="AA16" s="10">
        <v>5000.0</v>
      </c>
      <c r="AB16" s="10">
        <v>3000.0</v>
      </c>
      <c r="AC16" s="13">
        <f>(0.624253+0.625086+0.624017)/3</f>
        <v>0.624452</v>
      </c>
      <c r="AD16" s="10">
        <v>20.0</v>
      </c>
      <c r="AE16" s="10">
        <v>5000.0</v>
      </c>
      <c r="AF16" s="10">
        <v>3000.0</v>
      </c>
      <c r="AG16" s="14">
        <f>(0.440502+0.441664+0.440143)/3</f>
        <v>0.4407696667</v>
      </c>
      <c r="AH16" s="10">
        <v>20.0</v>
      </c>
      <c r="AI16" s="10">
        <v>5000.0</v>
      </c>
      <c r="AJ16" s="10">
        <v>3000.0</v>
      </c>
      <c r="AK16" s="13">
        <f>(0.403121+0.401913+0.401704)/3</f>
        <v>0.402246</v>
      </c>
      <c r="AL16" s="10">
        <v>20.0</v>
      </c>
      <c r="AM16" s="10">
        <v>5000.0</v>
      </c>
      <c r="AN16" s="10">
        <v>3000.0</v>
      </c>
      <c r="AO16" s="14">
        <f>(0.239155+0.2381+0.239248)/3</f>
        <v>0.2388343333</v>
      </c>
    </row>
    <row r="18">
      <c r="AC18" s="20" t="s">
        <v>13</v>
      </c>
    </row>
  </sheetData>
  <mergeCells count="18">
    <mergeCell ref="AD3:AK3"/>
    <mergeCell ref="AL3:AO3"/>
    <mergeCell ref="F2:Q2"/>
    <mergeCell ref="R2:AC2"/>
    <mergeCell ref="AD2:AK2"/>
    <mergeCell ref="AL2:AO2"/>
    <mergeCell ref="B3:E3"/>
    <mergeCell ref="F3:Q3"/>
    <mergeCell ref="R3:AC3"/>
    <mergeCell ref="AH4:AK4"/>
    <mergeCell ref="AL4:AO4"/>
    <mergeCell ref="F4:I4"/>
    <mergeCell ref="J4:M4"/>
    <mergeCell ref="N4:Q4"/>
    <mergeCell ref="R4:U4"/>
    <mergeCell ref="V4:Y4"/>
    <mergeCell ref="Z4:AC4"/>
    <mergeCell ref="AD4:AG4"/>
  </mergeCells>
  <drawing r:id="rId1"/>
</worksheet>
</file>